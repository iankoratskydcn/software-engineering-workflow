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Template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<sst xmlns="http://schemas.openxmlformats.org/spreadsheetml/2006/main" count="402" uniqueCount="52">
  <si>
    <t>RACI CHART TEMPLATE</t>
  </si>
  <si>
    <t>STAKEHOLDERS</t>
  </si>
  <si>
    <t>Activities</t>
  </si>
  <si>
    <t>Steve Davis</t>
  </si>
  <si>
    <t>Sue Hultum</t>
  </si>
  <si>
    <t>Frank Garvey</t>
  </si>
  <si>
    <t>Sarah Miles</t>
  </si>
  <si>
    <t>Neil Large</t>
  </si>
  <si>
    <t>F</t>
  </si>
  <si>
    <t>G</t>
  </si>
  <si>
    <t>H</t>
  </si>
  <si>
    <t>I</t>
  </si>
  <si>
    <t>J</t>
  </si>
  <si>
    <t>Category Manager</t>
  </si>
  <si>
    <t>CFO</t>
  </si>
  <si>
    <t>SME</t>
  </si>
  <si>
    <t>Legal</t>
  </si>
  <si>
    <t>Internal Audit</t>
  </si>
  <si>
    <t>Select</t>
  </si>
  <si>
    <t>Defining and engaging stakeholders</t>
  </si>
  <si>
    <t>Responsible</t>
  </si>
  <si>
    <t>Approve</t>
  </si>
  <si>
    <t>Consult</t>
  </si>
  <si>
    <t>Inform</t>
  </si>
  <si>
    <t>Undertaking category analysis</t>
  </si>
  <si>
    <t>Interpreting business goals and translating those goals into service standards</t>
  </si>
  <si>
    <t>Reviewing market developments in supply markets</t>
  </si>
  <si>
    <t>Profiling supply market character</t>
  </si>
  <si>
    <t>Generating potential procurement strategies</t>
  </si>
  <si>
    <t>Determining appropriate strategy</t>
  </si>
  <si>
    <t>Bid assembly and/ or negotiation preparation</t>
  </si>
  <si>
    <t>Bid evaluation</t>
  </si>
  <si>
    <t>Negotiation of commercial terms</t>
  </si>
  <si>
    <t>Selection of chosen provider[s]</t>
  </si>
  <si>
    <t>Generation of contract terms and conditions</t>
  </si>
  <si>
    <t>Selection of performance management levers</t>
  </si>
  <si>
    <t>Mobilisation of contractor/s</t>
  </si>
  <si>
    <t>Review of contractor's performance</t>
  </si>
  <si>
    <t>Measurement of contractual benefits from sourcing</t>
  </si>
  <si>
    <t>Conceived, designed and executed through the creative je ne sais quoi of Paul Rogers</t>
  </si>
  <si>
    <t>Responsible for how many activities?</t>
  </si>
  <si>
    <t>Approving how many activities?</t>
  </si>
  <si>
    <t>Consultee for how many activities?</t>
  </si>
  <si>
    <t>Informed about how many activities?</t>
  </si>
  <si>
    <t>Get Access to our Complete Collection of Editable Google Sheet RACI Templates here</t>
  </si>
  <si>
    <t>A</t>
  </si>
  <si>
    <t>B</t>
  </si>
  <si>
    <t>C</t>
  </si>
  <si>
    <t>D</t>
  </si>
  <si>
    <t>E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</si>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</sst>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i/>
      <sz val="18.0"/>
      <color theme="1"/>
      <name val="Abadi"/>
    </font>
    <font>
      <sz val="12.0"/>
      <color theme="1"/>
      <name val="Abadi"/>
    </font>
    <font>
      <b/>
      <i/>
      <sz val="12.0"/>
      <color theme="1"/>
      <name val="Abadi"/>
    </font>
    <font>
      <b/>
      <sz val="12.0"/>
      <color theme="1"/>
      <name val="Abadi"/>
    </font>
    <font>
      <b/>
      <sz val="12.0"/>
      <color theme="1"/>
      <name val="Calibri"/>
      <scheme val="minor"/>
    </font>
    <font>
      <sz val="12.0"/>
      <color theme="0"/>
      <name val="Abadi"/>
    </font>
    <font>
      <b/>
      <u/>
      <sz val="14.0"/>
      <color rgb="FF1155CC"/>
      <name val="Arial"/>
    </font>
    <font>
      <b/>
      <i/>
      <sz val="16.0"/>
      <color theme="1"/>
      <name val="Abadi"/>
    </font>
    <font>
      <sz val="12.0"/>
      <color theme="0"/>
      <name val="Calibri"/>
      <scheme val="minor"/>
    </font>
    <font>
      <b/>
      <sz val="18.0"/>
      <color theme="1"/>
      <name val="Roboto"/>
    </font>
    <font>
      <sz val="14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0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0" fillId="0" fontId="0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2" fillId="2" fontId="4" numFmtId="0" xfId="0" applyAlignment="1" applyBorder="1" applyFill="1" applyFont="1">
      <alignment horizontal="right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ill="1" applyFont="1">
      <alignment horizontal="righ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horizontal="right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3" fontId="10" numFmtId="0" xfId="0" applyAlignment="1" applyFill="1" applyFont="1">
      <alignment horizontal="center" readingOrder="0" vertical="center"/>
    </xf>
    <xf borderId="0" fillId="4" fontId="1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color theme="1"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solid">
          <fgColor rgb="FFEAF1DD"/>
          <bgColor rgb="FFEAF1DD"/>
        </patternFill>
      </fill>
      <border/>
    </dxf>
    <dxf>
      <font>
        <color theme="1"/>
      </font>
      <fill>
        <patternFill patternType="solid">
          <fgColor rgb="FFF2DBDB"/>
          <bgColor rgb="FFF2DBDB"/>
        </patternFill>
      </fill>
      <border/>
    </dxf>
    <dxf>
      <font>
        <color theme="1"/>
      </font>
      <fill>
        <patternFill patternType="solid">
          <fgColor rgb="FFC6D9F0"/>
          <bgColor rgb="FFC6D9F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m-training.net/free-raci-matrix-templat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Col="1"/>
  <cols>
    <col customWidth="1" min="1" max="1" width="5.44"/>
    <col customWidth="1" min="2" max="2" width="70.67"/>
    <col customWidth="1" min="3" max="7" width="16.44"/>
    <col customWidth="1" min="8" max="9" width="16.44" outlineLevel="1"/>
    <col customWidth="1" min="10" max="10" width="16.44"/>
    <col customWidth="1" hidden="1" min="11" max="12" width="16.44" outlineLevel="1"/>
    <col customWidth="1" min="13" max="13" width="10.89"/>
    <col customWidth="1" min="14" max="26" width="11.0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ht="15.75" customHeight="1">
      <c r="A2" s="1"/>
      <c r="B2" s="3"/>
      <c r="C2" s="4" t="s">
        <v>1</v>
      </c>
    </row>
    <row r="3" ht="15.75" customHeight="1">
      <c r="A3" s="1"/>
      <c r="B3" s="5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7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ht="15.75" customHeight="1">
      <c r="A4" s="8"/>
      <c r="B4" s="9"/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/>
      <c r="I4" s="10"/>
      <c r="J4" s="10"/>
      <c r="K4" s="11"/>
      <c r="L4" s="11"/>
      <c r="V4" s="12" t="s">
        <v>18</v>
      </c>
    </row>
    <row r="5" ht="27.75" customHeight="1">
      <c r="A5" s="13">
        <v>1.0</v>
      </c>
      <c r="B5" s="14" t="s">
        <v>19</v>
      </c>
      <c r="C5" s="15" t="s">
        <v>20</v>
      </c>
      <c r="D5" s="15" t="s">
        <v>21</v>
      </c>
      <c r="E5" s="15" t="s">
        <v>22</v>
      </c>
      <c r="F5" s="15" t="s">
        <v>22</v>
      </c>
      <c r="G5" s="15" t="s">
        <v>23</v>
      </c>
      <c r="H5" s="15" t="s">
        <v>18</v>
      </c>
      <c r="I5" s="15" t="s">
        <v>18</v>
      </c>
      <c r="J5" s="15" t="s">
        <v>18</v>
      </c>
      <c r="K5" s="15" t="s">
        <v>18</v>
      </c>
      <c r="L5" s="15" t="s">
        <v>18</v>
      </c>
      <c r="V5" s="12" t="s">
        <v>20</v>
      </c>
    </row>
    <row r="6" ht="27.75" customHeight="1">
      <c r="A6" s="13">
        <v>2.0</v>
      </c>
      <c r="B6" s="14" t="s">
        <v>24</v>
      </c>
      <c r="C6" s="15" t="s">
        <v>20</v>
      </c>
      <c r="D6" s="15" t="s">
        <v>23</v>
      </c>
      <c r="E6" s="15" t="s">
        <v>21</v>
      </c>
      <c r="F6" s="15" t="s">
        <v>23</v>
      </c>
      <c r="G6" s="15" t="s">
        <v>23</v>
      </c>
      <c r="H6" s="15" t="s">
        <v>18</v>
      </c>
      <c r="I6" s="15" t="s">
        <v>18</v>
      </c>
      <c r="J6" s="15" t="s">
        <v>18</v>
      </c>
      <c r="K6" s="15" t="s">
        <v>18</v>
      </c>
      <c r="L6" s="15" t="s">
        <v>18</v>
      </c>
      <c r="V6" s="12" t="s">
        <v>21</v>
      </c>
    </row>
    <row r="7" ht="27.75" customHeight="1">
      <c r="A7" s="13">
        <v>3.0</v>
      </c>
      <c r="B7" s="14" t="s">
        <v>25</v>
      </c>
      <c r="C7" s="15" t="s">
        <v>22</v>
      </c>
      <c r="D7" s="15" t="s">
        <v>21</v>
      </c>
      <c r="E7" s="15" t="s">
        <v>20</v>
      </c>
      <c r="F7" s="15" t="s">
        <v>23</v>
      </c>
      <c r="G7" s="15" t="s">
        <v>23</v>
      </c>
      <c r="H7" s="15" t="s">
        <v>18</v>
      </c>
      <c r="I7" s="15" t="s">
        <v>18</v>
      </c>
      <c r="J7" s="15" t="s">
        <v>18</v>
      </c>
      <c r="K7" s="15" t="s">
        <v>18</v>
      </c>
      <c r="L7" s="15" t="s">
        <v>18</v>
      </c>
      <c r="V7" s="12" t="s">
        <v>22</v>
      </c>
    </row>
    <row r="8" ht="27.75" customHeight="1">
      <c r="A8" s="13">
        <v>5.0</v>
      </c>
      <c r="B8" s="14" t="s">
        <v>26</v>
      </c>
      <c r="C8" s="15" t="s">
        <v>20</v>
      </c>
      <c r="D8" s="15" t="s">
        <v>23</v>
      </c>
      <c r="E8" s="15" t="s">
        <v>21</v>
      </c>
      <c r="F8" s="15" t="s">
        <v>23</v>
      </c>
      <c r="G8" s="15" t="s">
        <v>23</v>
      </c>
      <c r="H8" s="15" t="s">
        <v>18</v>
      </c>
      <c r="I8" s="15" t="s">
        <v>18</v>
      </c>
      <c r="J8" s="15" t="s">
        <v>18</v>
      </c>
      <c r="K8" s="15" t="s">
        <v>18</v>
      </c>
      <c r="L8" s="15" t="s">
        <v>18</v>
      </c>
      <c r="V8" s="12" t="s">
        <v>23</v>
      </c>
    </row>
    <row r="9" ht="27.75" customHeight="1">
      <c r="A9" s="13">
        <v>6.0</v>
      </c>
      <c r="B9" s="14" t="s">
        <v>27</v>
      </c>
      <c r="C9" s="15" t="s">
        <v>20</v>
      </c>
      <c r="D9" s="15" t="s">
        <v>23</v>
      </c>
      <c r="E9" s="15" t="s">
        <v>21</v>
      </c>
      <c r="F9" s="15" t="s">
        <v>23</v>
      </c>
      <c r="G9" s="15" t="s">
        <v>23</v>
      </c>
      <c r="H9" s="15" t="s">
        <v>18</v>
      </c>
      <c r="I9" s="15" t="s">
        <v>18</v>
      </c>
      <c r="J9" s="15" t="s">
        <v>18</v>
      </c>
      <c r="K9" s="15" t="s">
        <v>18</v>
      </c>
      <c r="L9" s="15" t="s">
        <v>18</v>
      </c>
    </row>
    <row r="10" ht="27.75" customHeight="1">
      <c r="A10" s="13">
        <v>7.0</v>
      </c>
      <c r="B10" s="14" t="s">
        <v>28</v>
      </c>
      <c r="C10" s="15" t="s">
        <v>20</v>
      </c>
      <c r="D10" s="15" t="s">
        <v>22</v>
      </c>
      <c r="E10" s="15" t="s">
        <v>21</v>
      </c>
      <c r="F10" s="15" t="s">
        <v>23</v>
      </c>
      <c r="G10" s="15" t="s">
        <v>23</v>
      </c>
      <c r="H10" s="15" t="s">
        <v>18</v>
      </c>
      <c r="I10" s="15" t="s">
        <v>18</v>
      </c>
      <c r="J10" s="15" t="s">
        <v>18</v>
      </c>
      <c r="K10" s="15" t="s">
        <v>18</v>
      </c>
      <c r="L10" s="15" t="s">
        <v>18</v>
      </c>
    </row>
    <row r="11" ht="27.75" customHeight="1">
      <c r="A11" s="13">
        <v>8.0</v>
      </c>
      <c r="B11" s="14" t="s">
        <v>29</v>
      </c>
      <c r="C11" s="15" t="s">
        <v>20</v>
      </c>
      <c r="D11" s="15" t="s">
        <v>21</v>
      </c>
      <c r="E11" s="15" t="s">
        <v>20</v>
      </c>
      <c r="F11" s="15" t="s">
        <v>20</v>
      </c>
      <c r="G11" s="15" t="s">
        <v>23</v>
      </c>
      <c r="H11" s="15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</row>
    <row r="12" ht="27.75" customHeight="1">
      <c r="A12" s="13">
        <v>9.0</v>
      </c>
      <c r="B12" s="14" t="s">
        <v>30</v>
      </c>
      <c r="C12" s="15" t="s">
        <v>20</v>
      </c>
      <c r="D12" s="15" t="s">
        <v>23</v>
      </c>
      <c r="E12" s="15" t="s">
        <v>20</v>
      </c>
      <c r="F12" s="15" t="s">
        <v>21</v>
      </c>
      <c r="G12" s="15" t="s">
        <v>23</v>
      </c>
      <c r="H12" s="15" t="s">
        <v>18</v>
      </c>
      <c r="I12" s="15" t="s">
        <v>18</v>
      </c>
      <c r="J12" s="15" t="s">
        <v>18</v>
      </c>
      <c r="K12" s="15" t="s">
        <v>18</v>
      </c>
      <c r="L12" s="15" t="s">
        <v>18</v>
      </c>
    </row>
    <row r="13" ht="27.75" customHeight="1">
      <c r="A13" s="13">
        <v>10.0</v>
      </c>
      <c r="B13" s="14" t="s">
        <v>31</v>
      </c>
      <c r="C13" s="15" t="s">
        <v>22</v>
      </c>
      <c r="D13" s="15" t="s">
        <v>21</v>
      </c>
      <c r="E13" s="15" t="s">
        <v>20</v>
      </c>
      <c r="F13" s="15" t="s">
        <v>22</v>
      </c>
      <c r="G13" s="15" t="s">
        <v>22</v>
      </c>
      <c r="H13" s="15" t="s">
        <v>18</v>
      </c>
      <c r="I13" s="15" t="s">
        <v>18</v>
      </c>
      <c r="J13" s="15" t="s">
        <v>18</v>
      </c>
      <c r="K13" s="15" t="s">
        <v>18</v>
      </c>
      <c r="L13" s="15" t="s">
        <v>18</v>
      </c>
    </row>
    <row r="14" ht="27.75" customHeight="1">
      <c r="A14" s="13">
        <v>11.0</v>
      </c>
      <c r="B14" s="14" t="s">
        <v>32</v>
      </c>
      <c r="C14" s="15" t="s">
        <v>20</v>
      </c>
      <c r="D14" s="15" t="s">
        <v>21</v>
      </c>
      <c r="E14" s="15" t="s">
        <v>20</v>
      </c>
      <c r="F14" s="15" t="s">
        <v>20</v>
      </c>
      <c r="G14" s="15" t="s">
        <v>23</v>
      </c>
      <c r="H14" s="15" t="s">
        <v>18</v>
      </c>
      <c r="I14" s="15" t="s">
        <v>18</v>
      </c>
      <c r="J14" s="15" t="s">
        <v>18</v>
      </c>
      <c r="K14" s="15" t="s">
        <v>18</v>
      </c>
      <c r="L14" s="15" t="s">
        <v>18</v>
      </c>
    </row>
    <row r="15" ht="27.75" customHeight="1">
      <c r="A15" s="13">
        <v>12.0</v>
      </c>
      <c r="B15" s="14" t="s">
        <v>33</v>
      </c>
      <c r="C15" s="15" t="s">
        <v>22</v>
      </c>
      <c r="D15" s="15" t="s">
        <v>21</v>
      </c>
      <c r="E15" s="15" t="s">
        <v>20</v>
      </c>
      <c r="F15" s="15" t="s">
        <v>22</v>
      </c>
      <c r="G15" s="15" t="s">
        <v>23</v>
      </c>
      <c r="H15" s="15" t="s">
        <v>18</v>
      </c>
      <c r="I15" s="15" t="s">
        <v>18</v>
      </c>
      <c r="J15" s="15" t="s">
        <v>18</v>
      </c>
      <c r="K15" s="15" t="s">
        <v>18</v>
      </c>
      <c r="L15" s="15" t="s">
        <v>18</v>
      </c>
    </row>
    <row r="16" ht="27.75" customHeight="1">
      <c r="A16" s="13">
        <v>13.0</v>
      </c>
      <c r="B16" s="14" t="s">
        <v>34</v>
      </c>
      <c r="C16" s="15" t="s">
        <v>20</v>
      </c>
      <c r="D16" s="15" t="s">
        <v>23</v>
      </c>
      <c r="E16" s="15" t="s">
        <v>22</v>
      </c>
      <c r="F16" s="15" t="s">
        <v>21</v>
      </c>
      <c r="G16" s="15" t="s">
        <v>23</v>
      </c>
      <c r="H16" s="15" t="s">
        <v>18</v>
      </c>
      <c r="I16" s="15" t="s">
        <v>18</v>
      </c>
      <c r="J16" s="15" t="s">
        <v>18</v>
      </c>
      <c r="K16" s="15" t="s">
        <v>18</v>
      </c>
      <c r="L16" s="15" t="s">
        <v>18</v>
      </c>
    </row>
    <row r="17" ht="27.75" customHeight="1">
      <c r="A17" s="13">
        <v>14.0</v>
      </c>
      <c r="B17" s="14" t="s">
        <v>35</v>
      </c>
      <c r="C17" s="15" t="s">
        <v>20</v>
      </c>
      <c r="D17" s="15" t="s">
        <v>18</v>
      </c>
      <c r="E17" s="15" t="s">
        <v>22</v>
      </c>
      <c r="F17" s="15" t="s">
        <v>21</v>
      </c>
      <c r="G17" s="15" t="s">
        <v>23</v>
      </c>
      <c r="H17" s="15" t="s">
        <v>18</v>
      </c>
      <c r="I17" s="15" t="s">
        <v>18</v>
      </c>
      <c r="J17" s="15" t="s">
        <v>18</v>
      </c>
      <c r="K17" s="15" t="s">
        <v>18</v>
      </c>
      <c r="L17" s="15" t="s">
        <v>18</v>
      </c>
    </row>
    <row r="18" ht="27.75" customHeight="1">
      <c r="A18" s="13">
        <v>15.0</v>
      </c>
      <c r="B18" s="14" t="s">
        <v>36</v>
      </c>
      <c r="C18" s="15" t="s">
        <v>22</v>
      </c>
      <c r="D18" s="15" t="s">
        <v>21</v>
      </c>
      <c r="E18" s="15" t="s">
        <v>20</v>
      </c>
      <c r="F18" s="15" t="s">
        <v>22</v>
      </c>
      <c r="G18" s="15" t="s">
        <v>23</v>
      </c>
      <c r="H18" s="15" t="s">
        <v>18</v>
      </c>
      <c r="I18" s="15" t="s">
        <v>18</v>
      </c>
      <c r="J18" s="15" t="s">
        <v>18</v>
      </c>
      <c r="K18" s="15" t="s">
        <v>18</v>
      </c>
      <c r="L18" s="15" t="s">
        <v>18</v>
      </c>
    </row>
    <row r="19" ht="27.75" customHeight="1">
      <c r="A19" s="13">
        <v>16.0</v>
      </c>
      <c r="B19" s="14" t="s">
        <v>37</v>
      </c>
      <c r="C19" s="15" t="s">
        <v>20</v>
      </c>
      <c r="D19" s="15" t="s">
        <v>23</v>
      </c>
      <c r="E19" s="15" t="s">
        <v>21</v>
      </c>
      <c r="F19" s="15" t="s">
        <v>23</v>
      </c>
      <c r="G19" s="15" t="s">
        <v>23</v>
      </c>
      <c r="H19" s="15" t="s">
        <v>18</v>
      </c>
      <c r="I19" s="15" t="s">
        <v>18</v>
      </c>
      <c r="J19" s="15" t="s">
        <v>18</v>
      </c>
      <c r="K19" s="15"/>
      <c r="L19" s="15"/>
    </row>
    <row r="20" ht="27.75" customHeight="1">
      <c r="A20" s="13">
        <v>17.0</v>
      </c>
      <c r="B20" s="14" t="s">
        <v>38</v>
      </c>
      <c r="C20" s="15" t="s">
        <v>20</v>
      </c>
      <c r="D20" s="15" t="s">
        <v>21</v>
      </c>
      <c r="E20" s="15" t="s">
        <v>22</v>
      </c>
      <c r="F20" s="15" t="s">
        <v>23</v>
      </c>
      <c r="G20" s="15" t="s">
        <v>23</v>
      </c>
      <c r="H20" s="15" t="s">
        <v>18</v>
      </c>
      <c r="I20" s="15" t="s">
        <v>18</v>
      </c>
      <c r="J20" s="15" t="s">
        <v>18</v>
      </c>
      <c r="K20" s="15" t="s">
        <v>18</v>
      </c>
      <c r="L20" s="15" t="s">
        <v>18</v>
      </c>
    </row>
    <row r="21" ht="15.75" customHeight="1">
      <c r="A21" s="8"/>
      <c r="B21" s="16" t="s">
        <v>39</v>
      </c>
      <c r="C21" s="9"/>
      <c r="D21" s="9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8"/>
      <c r="B22" s="17" t="s">
        <v>40</v>
      </c>
      <c r="C22" s="18">
        <f t="shared" ref="C22:L22" si="1">COUNTIF(C5:C20,"Responsible")</f>
        <v>12</v>
      </c>
      <c r="D22" s="18">
        <f t="shared" si="1"/>
        <v>0</v>
      </c>
      <c r="E22" s="18">
        <f t="shared" si="1"/>
        <v>7</v>
      </c>
      <c r="F22" s="18">
        <f t="shared" si="1"/>
        <v>2</v>
      </c>
      <c r="G22" s="18">
        <f t="shared" si="1"/>
        <v>0</v>
      </c>
      <c r="H22" s="18">
        <f t="shared" si="1"/>
        <v>0</v>
      </c>
      <c r="I22" s="18">
        <f t="shared" si="1"/>
        <v>0</v>
      </c>
      <c r="J22" s="18">
        <f t="shared" si="1"/>
        <v>0</v>
      </c>
      <c r="K22" s="18">
        <f t="shared" si="1"/>
        <v>0</v>
      </c>
      <c r="L22" s="19">
        <f t="shared" si="1"/>
        <v>0</v>
      </c>
    </row>
    <row r="23" ht="15.75" customHeight="1">
      <c r="A23" s="8"/>
      <c r="B23" s="20" t="s">
        <v>41</v>
      </c>
      <c r="C23" s="21">
        <f t="shared" ref="C23:L23" si="2">COUNTIF(C5:C20,"Approve")</f>
        <v>0</v>
      </c>
      <c r="D23" s="21">
        <f t="shared" si="2"/>
        <v>8</v>
      </c>
      <c r="E23" s="21">
        <f t="shared" si="2"/>
        <v>5</v>
      </c>
      <c r="F23" s="21">
        <f t="shared" si="2"/>
        <v>3</v>
      </c>
      <c r="G23" s="21">
        <f t="shared" si="2"/>
        <v>0</v>
      </c>
      <c r="H23" s="21">
        <f t="shared" si="2"/>
        <v>0</v>
      </c>
      <c r="I23" s="21">
        <f t="shared" si="2"/>
        <v>0</v>
      </c>
      <c r="J23" s="21">
        <f t="shared" si="2"/>
        <v>0</v>
      </c>
      <c r="K23" s="21">
        <f t="shared" si="2"/>
        <v>0</v>
      </c>
      <c r="L23" s="22">
        <f t="shared" si="2"/>
        <v>0</v>
      </c>
    </row>
    <row r="24" ht="15.75" customHeight="1">
      <c r="A24" s="8"/>
      <c r="B24" s="20" t="s">
        <v>42</v>
      </c>
      <c r="C24" s="21">
        <f t="shared" ref="C24:L24" si="3">COUNTIF(C5:C20,"Consult")</f>
        <v>4</v>
      </c>
      <c r="D24" s="21">
        <f t="shared" si="3"/>
        <v>1</v>
      </c>
      <c r="E24" s="21">
        <f t="shared" si="3"/>
        <v>4</v>
      </c>
      <c r="F24" s="21">
        <f t="shared" si="3"/>
        <v>4</v>
      </c>
      <c r="G24" s="21">
        <f t="shared" si="3"/>
        <v>1</v>
      </c>
      <c r="H24" s="21">
        <f t="shared" si="3"/>
        <v>0</v>
      </c>
      <c r="I24" s="21">
        <f t="shared" si="3"/>
        <v>0</v>
      </c>
      <c r="J24" s="21">
        <f t="shared" si="3"/>
        <v>0</v>
      </c>
      <c r="K24" s="21">
        <f t="shared" si="3"/>
        <v>0</v>
      </c>
      <c r="L24" s="22">
        <f t="shared" si="3"/>
        <v>0</v>
      </c>
    </row>
    <row r="25" ht="15.75" customHeight="1">
      <c r="A25" s="8"/>
      <c r="B25" s="23" t="s">
        <v>43</v>
      </c>
      <c r="C25" s="24">
        <f t="shared" ref="C25:L25" si="4">COUNTIF(C5:C20,"Inform")</f>
        <v>0</v>
      </c>
      <c r="D25" s="24">
        <f t="shared" si="4"/>
        <v>6</v>
      </c>
      <c r="E25" s="24">
        <f t="shared" si="4"/>
        <v>0</v>
      </c>
      <c r="F25" s="24">
        <f t="shared" si="4"/>
        <v>7</v>
      </c>
      <c r="G25" s="24">
        <f t="shared" si="4"/>
        <v>15</v>
      </c>
      <c r="H25" s="24">
        <f t="shared" si="4"/>
        <v>0</v>
      </c>
      <c r="I25" s="24">
        <f t="shared" si="4"/>
        <v>0</v>
      </c>
      <c r="J25" s="24">
        <f t="shared" si="4"/>
        <v>0</v>
      </c>
      <c r="K25" s="24">
        <f t="shared" si="4"/>
        <v>0</v>
      </c>
      <c r="L25" s="25">
        <f t="shared" si="4"/>
        <v>0</v>
      </c>
    </row>
    <row r="26" ht="15.75" customHeight="1">
      <c r="A26" s="8"/>
      <c r="B26" s="9"/>
      <c r="C26" s="9"/>
      <c r="D26" s="9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8"/>
      <c r="B27" s="9"/>
      <c r="C27" s="9"/>
      <c r="D27" s="9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8"/>
      <c r="B28" s="9"/>
      <c r="C28" s="9"/>
      <c r="D28" s="9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8"/>
      <c r="B29" s="9"/>
      <c r="C29" s="9"/>
      <c r="D29" s="9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8"/>
      <c r="B30" s="9"/>
      <c r="C30" s="9"/>
      <c r="D30" s="9"/>
      <c r="E30" s="3"/>
      <c r="F30" s="3"/>
      <c r="G30" s="3"/>
      <c r="H30" s="3"/>
      <c r="I30" s="3"/>
      <c r="J30" s="3"/>
      <c r="K30" s="3"/>
      <c r="L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L2"/>
  </mergeCells>
  <conditionalFormatting sqref="C5:J18 K5:L20 C20:J20">
    <cfRule type="containsText" dxfId="0" priority="1" operator="containsText" text="Inform">
      <formula>NOT(ISERROR(SEARCH(("Inform"),(C5))))</formula>
    </cfRule>
  </conditionalFormatting>
  <conditionalFormatting sqref="C5:J18 K5:L20 C20:J20">
    <cfRule type="containsText" dxfId="1" priority="2" operator="containsText" text="Consult">
      <formula>NOT(ISERROR(SEARCH(("Consult"),(C5))))</formula>
    </cfRule>
  </conditionalFormatting>
  <conditionalFormatting sqref="C5:J18 K5:L20 C20:J20">
    <cfRule type="containsText" dxfId="2" priority="3" operator="containsText" text="Approve">
      <formula>NOT(ISERROR(SEARCH(("Approve"),(C5))))</formula>
    </cfRule>
  </conditionalFormatting>
  <conditionalFormatting sqref="C5:J18 K5:L20 C20:J20">
    <cfRule type="containsText" dxfId="3" priority="4" operator="containsText" text="Responsible">
      <formula>NOT(ISERROR(SEARCH(("Responsible"),(C5))))</formula>
    </cfRule>
  </conditionalFormatting>
  <conditionalFormatting sqref="C19:J19">
    <cfRule type="containsText" dxfId="0" priority="5" operator="containsText" text="Inform">
      <formula>NOT(ISERROR(SEARCH(("Inform"),(C19))))</formula>
    </cfRule>
  </conditionalFormatting>
  <conditionalFormatting sqref="C19:J19">
    <cfRule type="containsText" dxfId="1" priority="6" operator="containsText" text="Consult">
      <formula>NOT(ISERROR(SEARCH(("Consult"),(C19))))</formula>
    </cfRule>
  </conditionalFormatting>
  <conditionalFormatting sqref="C19:J19">
    <cfRule type="containsText" dxfId="2" priority="7" operator="containsText" text="Approve">
      <formula>NOT(ISERROR(SEARCH(("Approve"),(C19))))</formula>
    </cfRule>
  </conditionalFormatting>
  <conditionalFormatting sqref="C19:J19">
    <cfRule type="containsText" dxfId="3" priority="8" operator="containsText" text="Responsible">
      <formula>NOT(ISERROR(SEARCH(("Responsible"),(C19))))</formula>
    </cfRule>
  </conditionalFormatting>
  <dataValidations>
    <dataValidation type="list" allowBlank="1" showInputMessage="1" showErrorMessage="1" prompt="Tip - Select from list below" sqref="C5:L20">
      <formula1>$V$4:$V$8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 outlineLevelCol="1"/>
  <cols>
    <col customWidth="1" min="1" max="1" width="5.44"/>
    <col customWidth="1" min="2" max="2" width="70.67"/>
    <col customWidth="1" min="3" max="7" width="16.44"/>
    <col customWidth="1" hidden="1" min="8" max="9" width="16.44" outlineLevel="1"/>
    <col customWidth="1" min="10" max="10" width="16.44"/>
    <col customWidth="1" hidden="1" min="11" max="12" width="16.44" outlineLevel="1"/>
    <col customWidth="1" min="13" max="13" width="10.89"/>
    <col customWidth="1" min="14" max="26" width="11.0"/>
  </cols>
  <sheetData>
    <row r="1" ht="36.0" customHeight="1">
      <c r="A1" s="26" t="s">
        <v>44</v>
      </c>
    </row>
    <row r="2" ht="66.0" customHeight="1">
      <c r="B2" s="27"/>
      <c r="C2" s="28" t="s">
        <v>0</v>
      </c>
    </row>
    <row r="3" ht="15.75" customHeight="1">
      <c r="A3" s="1"/>
      <c r="B3" s="3"/>
      <c r="C3" s="4" t="s">
        <v>1</v>
      </c>
    </row>
    <row r="4" ht="15.75" customHeight="1">
      <c r="A4" s="1"/>
      <c r="B4" s="5" t="s">
        <v>2</v>
      </c>
      <c r="C4" s="6" t="s">
        <v>45</v>
      </c>
      <c r="D4" s="6" t="s">
        <v>46</v>
      </c>
      <c r="E4" s="7" t="s">
        <v>47</v>
      </c>
      <c r="F4" s="6" t="s">
        <v>48</v>
      </c>
      <c r="G4" s="6" t="s">
        <v>49</v>
      </c>
      <c r="H4" s="7" t="s">
        <v>8</v>
      </c>
      <c r="I4" s="6" t="s">
        <v>9</v>
      </c>
      <c r="J4" s="6" t="s">
        <v>10</v>
      </c>
      <c r="K4" s="6" t="s">
        <v>11</v>
      </c>
      <c r="L4" s="6" t="s">
        <v>12</v>
      </c>
    </row>
    <row r="5" ht="15.75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1"/>
      <c r="L5" s="11"/>
      <c r="V5" s="12" t="s">
        <v>18</v>
      </c>
    </row>
    <row r="6" ht="27.75" customHeight="1">
      <c r="A6" s="13">
        <v>1.0</v>
      </c>
      <c r="B6" s="14" t="s">
        <v>19</v>
      </c>
      <c r="C6" s="15" t="s">
        <v>18</v>
      </c>
      <c r="D6" s="15" t="s">
        <v>18</v>
      </c>
      <c r="E6" s="15" t="s">
        <v>18</v>
      </c>
      <c r="F6" s="15" t="s">
        <v>18</v>
      </c>
      <c r="G6" s="15" t="s">
        <v>18</v>
      </c>
      <c r="H6" s="15" t="s">
        <v>18</v>
      </c>
      <c r="I6" s="15" t="s">
        <v>18</v>
      </c>
      <c r="J6" s="15" t="s">
        <v>18</v>
      </c>
      <c r="K6" s="15" t="s">
        <v>18</v>
      </c>
      <c r="L6" s="15" t="s">
        <v>18</v>
      </c>
      <c r="V6" s="12" t="s">
        <v>20</v>
      </c>
    </row>
    <row r="7" ht="27.75" customHeight="1">
      <c r="A7" s="13">
        <v>2.0</v>
      </c>
      <c r="B7" s="14" t="s">
        <v>24</v>
      </c>
      <c r="C7" s="15" t="s">
        <v>18</v>
      </c>
      <c r="D7" s="15" t="s">
        <v>18</v>
      </c>
      <c r="E7" s="15" t="s">
        <v>18</v>
      </c>
      <c r="F7" s="15" t="s">
        <v>18</v>
      </c>
      <c r="G7" s="15" t="s">
        <v>18</v>
      </c>
      <c r="H7" s="15" t="s">
        <v>18</v>
      </c>
      <c r="I7" s="15" t="s">
        <v>18</v>
      </c>
      <c r="J7" s="15" t="s">
        <v>18</v>
      </c>
      <c r="K7" s="15" t="s">
        <v>18</v>
      </c>
      <c r="L7" s="15" t="s">
        <v>18</v>
      </c>
      <c r="V7" s="12" t="s">
        <v>21</v>
      </c>
    </row>
    <row r="8" ht="27.75" customHeight="1">
      <c r="A8" s="13">
        <v>3.0</v>
      </c>
      <c r="B8" s="14" t="s">
        <v>25</v>
      </c>
      <c r="C8" s="15" t="s">
        <v>18</v>
      </c>
      <c r="D8" s="15" t="s">
        <v>18</v>
      </c>
      <c r="E8" s="15" t="s">
        <v>18</v>
      </c>
      <c r="F8" s="15" t="s">
        <v>18</v>
      </c>
      <c r="G8" s="15" t="s">
        <v>18</v>
      </c>
      <c r="H8" s="15" t="s">
        <v>18</v>
      </c>
      <c r="I8" s="15" t="s">
        <v>18</v>
      </c>
      <c r="J8" s="15" t="s">
        <v>18</v>
      </c>
      <c r="K8" s="15" t="s">
        <v>18</v>
      </c>
      <c r="L8" s="15" t="s">
        <v>18</v>
      </c>
      <c r="V8" s="12" t="s">
        <v>22</v>
      </c>
    </row>
    <row r="9" ht="27.75" customHeight="1">
      <c r="A9" s="13">
        <v>5.0</v>
      </c>
      <c r="B9" s="14" t="s">
        <v>26</v>
      </c>
      <c r="C9" s="15" t="s">
        <v>18</v>
      </c>
      <c r="D9" s="15" t="s">
        <v>18</v>
      </c>
      <c r="E9" s="15" t="s">
        <v>18</v>
      </c>
      <c r="F9" s="15" t="s">
        <v>18</v>
      </c>
      <c r="G9" s="15" t="s">
        <v>18</v>
      </c>
      <c r="H9" s="15" t="s">
        <v>18</v>
      </c>
      <c r="I9" s="15" t="s">
        <v>18</v>
      </c>
      <c r="J9" s="15" t="s">
        <v>18</v>
      </c>
      <c r="K9" s="15" t="s">
        <v>18</v>
      </c>
      <c r="L9" s="15" t="s">
        <v>18</v>
      </c>
      <c r="V9" s="12" t="s">
        <v>23</v>
      </c>
    </row>
    <row r="10" ht="27.75" customHeight="1">
      <c r="A10" s="13">
        <v>6.0</v>
      </c>
      <c r="B10" s="14" t="s">
        <v>27</v>
      </c>
      <c r="C10" s="15" t="s">
        <v>18</v>
      </c>
      <c r="D10" s="15" t="s">
        <v>18</v>
      </c>
      <c r="E10" s="15" t="s">
        <v>18</v>
      </c>
      <c r="F10" s="15" t="s">
        <v>18</v>
      </c>
      <c r="G10" s="15" t="s">
        <v>18</v>
      </c>
      <c r="H10" s="15" t="s">
        <v>18</v>
      </c>
      <c r="I10" s="15" t="s">
        <v>18</v>
      </c>
      <c r="J10" s="15" t="s">
        <v>18</v>
      </c>
      <c r="K10" s="15" t="s">
        <v>18</v>
      </c>
      <c r="L10" s="15" t="s">
        <v>18</v>
      </c>
    </row>
    <row r="11" ht="27.75" customHeight="1">
      <c r="A11" s="13">
        <v>7.0</v>
      </c>
      <c r="B11" s="14" t="s">
        <v>28</v>
      </c>
      <c r="C11" s="15" t="s">
        <v>18</v>
      </c>
      <c r="D11" s="15" t="s">
        <v>18</v>
      </c>
      <c r="E11" s="15" t="s">
        <v>18</v>
      </c>
      <c r="F11" s="15" t="s">
        <v>18</v>
      </c>
      <c r="G11" s="15" t="s">
        <v>18</v>
      </c>
      <c r="H11" s="15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</row>
    <row r="12" ht="27.75" customHeight="1">
      <c r="A12" s="13">
        <v>8.0</v>
      </c>
      <c r="B12" s="14" t="s">
        <v>29</v>
      </c>
      <c r="C12" s="15" t="s">
        <v>18</v>
      </c>
      <c r="D12" s="15" t="s">
        <v>18</v>
      </c>
      <c r="E12" s="15" t="s">
        <v>18</v>
      </c>
      <c r="F12" s="15" t="s">
        <v>18</v>
      </c>
      <c r="G12" s="15" t="s">
        <v>18</v>
      </c>
      <c r="H12" s="15" t="s">
        <v>18</v>
      </c>
      <c r="I12" s="15" t="s">
        <v>18</v>
      </c>
      <c r="J12" s="15" t="s">
        <v>18</v>
      </c>
      <c r="K12" s="15" t="s">
        <v>18</v>
      </c>
      <c r="L12" s="15" t="s">
        <v>18</v>
      </c>
    </row>
    <row r="13" ht="27.75" customHeight="1">
      <c r="A13" s="13">
        <v>9.0</v>
      </c>
      <c r="B13" s="14" t="s">
        <v>30</v>
      </c>
      <c r="C13" s="15" t="s">
        <v>18</v>
      </c>
      <c r="D13" s="15" t="s">
        <v>18</v>
      </c>
      <c r="E13" s="15" t="s">
        <v>18</v>
      </c>
      <c r="F13" s="15" t="s">
        <v>18</v>
      </c>
      <c r="G13" s="15" t="s">
        <v>18</v>
      </c>
      <c r="H13" s="15" t="s">
        <v>18</v>
      </c>
      <c r="I13" s="15" t="s">
        <v>18</v>
      </c>
      <c r="J13" s="15" t="s">
        <v>18</v>
      </c>
      <c r="K13" s="15" t="s">
        <v>18</v>
      </c>
      <c r="L13" s="15" t="s">
        <v>18</v>
      </c>
    </row>
    <row r="14" ht="27.75" customHeight="1">
      <c r="A14" s="13">
        <v>10.0</v>
      </c>
      <c r="B14" s="14" t="s">
        <v>31</v>
      </c>
      <c r="C14" s="15" t="s">
        <v>18</v>
      </c>
      <c r="D14" s="15" t="s">
        <v>18</v>
      </c>
      <c r="E14" s="15" t="s">
        <v>18</v>
      </c>
      <c r="F14" s="15" t="s">
        <v>18</v>
      </c>
      <c r="G14" s="15" t="s">
        <v>18</v>
      </c>
      <c r="H14" s="15" t="s">
        <v>18</v>
      </c>
      <c r="I14" s="15" t="s">
        <v>18</v>
      </c>
      <c r="J14" s="15" t="s">
        <v>18</v>
      </c>
      <c r="K14" s="15" t="s">
        <v>18</v>
      </c>
      <c r="L14" s="15" t="s">
        <v>18</v>
      </c>
    </row>
    <row r="15" ht="27.75" customHeight="1">
      <c r="A15" s="13">
        <v>11.0</v>
      </c>
      <c r="B15" s="14" t="s">
        <v>32</v>
      </c>
      <c r="C15" s="15" t="s">
        <v>18</v>
      </c>
      <c r="D15" s="15" t="s">
        <v>18</v>
      </c>
      <c r="E15" s="15" t="s">
        <v>18</v>
      </c>
      <c r="F15" s="15" t="s">
        <v>18</v>
      </c>
      <c r="G15" s="15" t="s">
        <v>18</v>
      </c>
      <c r="H15" s="15" t="s">
        <v>18</v>
      </c>
      <c r="I15" s="15" t="s">
        <v>18</v>
      </c>
      <c r="J15" s="15" t="s">
        <v>18</v>
      </c>
      <c r="K15" s="15" t="s">
        <v>18</v>
      </c>
      <c r="L15" s="15" t="s">
        <v>18</v>
      </c>
    </row>
    <row r="16" ht="27.75" customHeight="1">
      <c r="A16" s="13">
        <v>12.0</v>
      </c>
      <c r="B16" s="14" t="s">
        <v>33</v>
      </c>
      <c r="C16" s="15" t="s">
        <v>18</v>
      </c>
      <c r="D16" s="15" t="s">
        <v>18</v>
      </c>
      <c r="E16" s="15" t="s">
        <v>18</v>
      </c>
      <c r="F16" s="15" t="s">
        <v>18</v>
      </c>
      <c r="G16" s="15" t="s">
        <v>18</v>
      </c>
      <c r="H16" s="15" t="s">
        <v>18</v>
      </c>
      <c r="I16" s="15" t="s">
        <v>18</v>
      </c>
      <c r="J16" s="15" t="s">
        <v>18</v>
      </c>
      <c r="K16" s="15" t="s">
        <v>18</v>
      </c>
      <c r="L16" s="15" t="s">
        <v>18</v>
      </c>
    </row>
    <row r="17" ht="27.75" customHeight="1">
      <c r="A17" s="13">
        <v>13.0</v>
      </c>
      <c r="B17" s="14" t="s">
        <v>34</v>
      </c>
      <c r="C17" s="15" t="s">
        <v>18</v>
      </c>
      <c r="D17" s="15" t="s">
        <v>18</v>
      </c>
      <c r="E17" s="15" t="s">
        <v>18</v>
      </c>
      <c r="F17" s="15" t="s">
        <v>18</v>
      </c>
      <c r="G17" s="15" t="s">
        <v>18</v>
      </c>
      <c r="H17" s="15" t="s">
        <v>18</v>
      </c>
      <c r="I17" s="15" t="s">
        <v>18</v>
      </c>
      <c r="J17" s="15" t="s">
        <v>18</v>
      </c>
      <c r="K17" s="15" t="s">
        <v>18</v>
      </c>
      <c r="L17" s="15" t="s">
        <v>18</v>
      </c>
    </row>
    <row r="18" ht="27.75" customHeight="1">
      <c r="A18" s="13">
        <v>14.0</v>
      </c>
      <c r="B18" s="14" t="s">
        <v>35</v>
      </c>
      <c r="C18" s="15" t="s">
        <v>18</v>
      </c>
      <c r="D18" s="15" t="s">
        <v>18</v>
      </c>
      <c r="E18" s="15" t="s">
        <v>18</v>
      </c>
      <c r="F18" s="15" t="s">
        <v>18</v>
      </c>
      <c r="G18" s="15" t="s">
        <v>18</v>
      </c>
      <c r="H18" s="15" t="s">
        <v>18</v>
      </c>
      <c r="I18" s="15" t="s">
        <v>18</v>
      </c>
      <c r="J18" s="15" t="s">
        <v>18</v>
      </c>
      <c r="K18" s="15" t="s">
        <v>18</v>
      </c>
      <c r="L18" s="15" t="s">
        <v>18</v>
      </c>
    </row>
    <row r="19" ht="27.75" customHeight="1">
      <c r="A19" s="13">
        <v>15.0</v>
      </c>
      <c r="B19" s="14" t="s">
        <v>36</v>
      </c>
      <c r="C19" s="15" t="s">
        <v>18</v>
      </c>
      <c r="D19" s="15" t="s">
        <v>18</v>
      </c>
      <c r="E19" s="15" t="s">
        <v>18</v>
      </c>
      <c r="F19" s="15" t="s">
        <v>18</v>
      </c>
      <c r="G19" s="15" t="s">
        <v>18</v>
      </c>
      <c r="H19" s="15" t="s">
        <v>18</v>
      </c>
      <c r="I19" s="15" t="s">
        <v>18</v>
      </c>
      <c r="J19" s="15" t="s">
        <v>18</v>
      </c>
      <c r="K19" s="15"/>
      <c r="L19" s="15"/>
    </row>
    <row r="20" ht="27.75" customHeight="1">
      <c r="A20" s="29">
        <v>16.0</v>
      </c>
      <c r="B20" s="14" t="s">
        <v>37</v>
      </c>
      <c r="C20" s="15" t="s">
        <v>18</v>
      </c>
      <c r="D20" s="15" t="s">
        <v>18</v>
      </c>
      <c r="E20" s="15" t="s">
        <v>18</v>
      </c>
      <c r="F20" s="15" t="s">
        <v>18</v>
      </c>
      <c r="G20" s="15" t="s">
        <v>18</v>
      </c>
      <c r="H20" s="15" t="s">
        <v>18</v>
      </c>
      <c r="I20" s="15" t="s">
        <v>18</v>
      </c>
      <c r="J20" s="15" t="s">
        <v>18</v>
      </c>
      <c r="K20" s="15" t="s">
        <v>18</v>
      </c>
      <c r="L20" s="15" t="s">
        <v>18</v>
      </c>
    </row>
    <row r="21" ht="27.75" customHeight="1">
      <c r="A21" s="13">
        <v>17.0</v>
      </c>
      <c r="B21" s="14" t="s">
        <v>38</v>
      </c>
      <c r="C21" s="15" t="s">
        <v>18</v>
      </c>
      <c r="D21" s="15" t="s">
        <v>18</v>
      </c>
      <c r="E21" s="15" t="s">
        <v>18</v>
      </c>
      <c r="F21" s="15" t="s">
        <v>18</v>
      </c>
      <c r="G21" s="15" t="s">
        <v>18</v>
      </c>
      <c r="H21" s="15" t="s">
        <v>18</v>
      </c>
      <c r="I21" s="15" t="s">
        <v>18</v>
      </c>
      <c r="J21" s="15" t="s">
        <v>18</v>
      </c>
      <c r="K21" s="15" t="s">
        <v>18</v>
      </c>
      <c r="L21" s="15" t="s">
        <v>18</v>
      </c>
    </row>
    <row r="22" ht="15.75" customHeight="1">
      <c r="A22" s="8"/>
      <c r="B22" s="9"/>
      <c r="C22" s="9"/>
      <c r="D22" s="9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8"/>
      <c r="B23" s="17" t="s">
        <v>40</v>
      </c>
      <c r="C23" s="18">
        <f t="shared" ref="C23:L23" si="1">COUNTIF(C6:C21,"Responsible")</f>
        <v>0</v>
      </c>
      <c r="D23" s="18">
        <f t="shared" si="1"/>
        <v>0</v>
      </c>
      <c r="E23" s="18">
        <f t="shared" si="1"/>
        <v>0</v>
      </c>
      <c r="F23" s="18">
        <f t="shared" si="1"/>
        <v>0</v>
      </c>
      <c r="G23" s="18">
        <f t="shared" si="1"/>
        <v>0</v>
      </c>
      <c r="H23" s="18">
        <f t="shared" si="1"/>
        <v>0</v>
      </c>
      <c r="I23" s="18">
        <f t="shared" si="1"/>
        <v>0</v>
      </c>
      <c r="J23" s="18">
        <f t="shared" si="1"/>
        <v>0</v>
      </c>
      <c r="K23" s="18">
        <f t="shared" si="1"/>
        <v>0</v>
      </c>
      <c r="L23" s="19">
        <f t="shared" si="1"/>
        <v>0</v>
      </c>
    </row>
    <row r="24" ht="15.75" customHeight="1">
      <c r="A24" s="8"/>
      <c r="B24" s="20" t="s">
        <v>41</v>
      </c>
      <c r="C24" s="21">
        <f t="shared" ref="C24:L24" si="2">COUNTIF(C6:C21,"Approve")</f>
        <v>0</v>
      </c>
      <c r="D24" s="21">
        <f t="shared" si="2"/>
        <v>0</v>
      </c>
      <c r="E24" s="21">
        <f t="shared" si="2"/>
        <v>0</v>
      </c>
      <c r="F24" s="21">
        <f t="shared" si="2"/>
        <v>0</v>
      </c>
      <c r="G24" s="21">
        <f t="shared" si="2"/>
        <v>0</v>
      </c>
      <c r="H24" s="21">
        <f t="shared" si="2"/>
        <v>0</v>
      </c>
      <c r="I24" s="21">
        <f t="shared" si="2"/>
        <v>0</v>
      </c>
      <c r="J24" s="21">
        <f t="shared" si="2"/>
        <v>0</v>
      </c>
      <c r="K24" s="21">
        <f t="shared" si="2"/>
        <v>0</v>
      </c>
      <c r="L24" s="22">
        <f t="shared" si="2"/>
        <v>0</v>
      </c>
    </row>
    <row r="25" ht="15.75" customHeight="1">
      <c r="A25" s="8"/>
      <c r="B25" s="20" t="s">
        <v>42</v>
      </c>
      <c r="C25" s="21">
        <f t="shared" ref="C25:L25" si="3">COUNTIF(C6:C21,"Consult")</f>
        <v>0</v>
      </c>
      <c r="D25" s="21">
        <f t="shared" si="3"/>
        <v>0</v>
      </c>
      <c r="E25" s="21">
        <f t="shared" si="3"/>
        <v>0</v>
      </c>
      <c r="F25" s="21">
        <f t="shared" si="3"/>
        <v>0</v>
      </c>
      <c r="G25" s="21">
        <f t="shared" si="3"/>
        <v>0</v>
      </c>
      <c r="H25" s="21">
        <f t="shared" si="3"/>
        <v>0</v>
      </c>
      <c r="I25" s="21">
        <f t="shared" si="3"/>
        <v>0</v>
      </c>
      <c r="J25" s="21">
        <f t="shared" si="3"/>
        <v>0</v>
      </c>
      <c r="K25" s="21">
        <f t="shared" si="3"/>
        <v>0</v>
      </c>
      <c r="L25" s="22">
        <f t="shared" si="3"/>
        <v>0</v>
      </c>
    </row>
    <row r="26" ht="15.75" customHeight="1">
      <c r="A26" s="8"/>
      <c r="B26" s="23" t="s">
        <v>43</v>
      </c>
      <c r="C26" s="24">
        <f t="shared" ref="C26:L26" si="4">COUNTIF(C6:C21,"Inform")</f>
        <v>0</v>
      </c>
      <c r="D26" s="24">
        <f t="shared" si="4"/>
        <v>0</v>
      </c>
      <c r="E26" s="24">
        <f t="shared" si="4"/>
        <v>0</v>
      </c>
      <c r="F26" s="24">
        <f t="shared" si="4"/>
        <v>0</v>
      </c>
      <c r="G26" s="24">
        <f t="shared" si="4"/>
        <v>0</v>
      </c>
      <c r="H26" s="24">
        <f t="shared" si="4"/>
        <v>0</v>
      </c>
      <c r="I26" s="24">
        <f t="shared" si="4"/>
        <v>0</v>
      </c>
      <c r="J26" s="24">
        <f t="shared" si="4"/>
        <v>0</v>
      </c>
      <c r="K26" s="24">
        <f t="shared" si="4"/>
        <v>0</v>
      </c>
      <c r="L26" s="25">
        <f t="shared" si="4"/>
        <v>0</v>
      </c>
    </row>
    <row r="27" ht="15.75" customHeight="1">
      <c r="A27" s="8"/>
      <c r="B27" s="9"/>
      <c r="C27" s="9"/>
      <c r="D27" s="9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8"/>
      <c r="B28" s="9"/>
      <c r="C28" s="9"/>
      <c r="D28" s="9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8"/>
      <c r="B29" s="9"/>
      <c r="C29" s="9"/>
      <c r="D29" s="9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8"/>
      <c r="B30" s="9"/>
      <c r="C30" s="9"/>
      <c r="D30" s="9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8"/>
      <c r="B31" s="9"/>
      <c r="C31" s="9"/>
      <c r="D31" s="9"/>
      <c r="E31" s="3"/>
      <c r="F31" s="3"/>
      <c r="G31" s="3"/>
      <c r="H31" s="3"/>
      <c r="I31" s="3"/>
      <c r="J31" s="3"/>
      <c r="K31" s="3"/>
      <c r="L31" s="3"/>
    </row>
    <row r="32" ht="15.7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B101" s="30" t="s">
        <v>39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Z1"/>
    <mergeCell ref="C2:L2"/>
    <mergeCell ref="C3:L3"/>
  </mergeCells>
  <conditionalFormatting sqref="C6:L21">
    <cfRule type="containsText" dxfId="0" priority="1" operator="containsText" text="Inform">
      <formula>NOT(ISERROR(SEARCH(("Inform"),(C6))))</formula>
    </cfRule>
  </conditionalFormatting>
  <conditionalFormatting sqref="C6:L21">
    <cfRule type="containsText" dxfId="1" priority="2" operator="containsText" text="Consult">
      <formula>NOT(ISERROR(SEARCH(("Consult"),(C6))))</formula>
    </cfRule>
  </conditionalFormatting>
  <conditionalFormatting sqref="C6:L21">
    <cfRule type="containsText" dxfId="2" priority="3" operator="containsText" text="Approve">
      <formula>NOT(ISERROR(SEARCH(("Approve"),(C6))))</formula>
    </cfRule>
  </conditionalFormatting>
  <conditionalFormatting sqref="C6:L21">
    <cfRule type="containsText" dxfId="3" priority="4" operator="containsText" text="Responsible">
      <formula>NOT(ISERROR(SEARCH(("Responsible"),(C6))))</formula>
    </cfRule>
  </conditionalFormatting>
  <dataValidations>
    <dataValidation type="list" allowBlank="1" showInputMessage="1" showErrorMessage="1" prompt="Tip - Select from list below" sqref="C6:L21">
      <formula1>$V$5:$V$9</formula1>
    </dataValidation>
  </dataValidations>
  <hyperlinks>
    <hyperlink r:id="rId1" ref="A1"/>
  </hyperlinks>
  <printOptions/>
  <pageMargins bottom="1.0" footer="0.0" header="0.0" left="0.7500000000000001" right="0.7500000000000001" top="1.0"/>
  <pageSetup paperSize="9" orientation="landscape"/>
  <headerFooter>
    <oddHeader>&amp;C000000RACI Chart</oddHeader>
    <oddFooter>&amp;L000000&amp;C000000Page &amp;P&amp;R000000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31" t="s">
        <v>50</v>
      </c>
    </row>
    <row r="2" ht="47.25" customHeight="1">
      <c r="A2" s="32" t="s">
        <v>51</v>
      </c>
    </row>
  </sheetData>
  <mergeCells count="2">
    <mergeCell ref="A1:I1"/>
    <mergeCell ref="A2:I2"/>
  </mergeCells>
  <drawing r:id="rId1"/>
</worksheet>
</file>